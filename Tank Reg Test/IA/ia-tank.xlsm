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0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4523\Desktop\Tank Reg Test Aug 2020\IA\"/>
    </mc:Choice>
  </mc:AlternateContent>
  <xr:revisionPtr revIDLastSave="0" documentId="13_ncr:40009_{61371351-41D8-4431-8288-21EED9ECEB72}" xr6:coauthVersionLast="45" xr6:coauthVersionMax="45" xr10:uidLastSave="{00000000-0000-0000-0000-000000000000}"/>
  <bookViews>
    <workbookView xWindow="28680" yWindow="870" windowWidth="25440" windowHeight="15390" activeTab="1"/>
  </bookViews>
  <sheets>
    <sheet name="ia-tank" sheetId="1" r:id="rId1"/>
    <sheet name="Sheet2" sheetId="3" r:id="rId2"/>
    <sheet name="Sheet1" sheetId="2" r:id="rId3"/>
  </sheets>
  <calcPr calcId="0"/>
</workbook>
</file>

<file path=xl/calcChain.xml><?xml version="1.0" encoding="utf-8"?>
<calcChain xmlns="http://schemas.openxmlformats.org/spreadsheetml/2006/main">
  <c r="C26" i="3" l="1"/>
  <c r="C19" i="3"/>
  <c r="C13" i="3"/>
  <c r="C12" i="3"/>
  <c r="H13" i="3"/>
  <c r="G13" i="3"/>
  <c r="F13" i="3"/>
  <c r="D13" i="3"/>
  <c r="H12" i="3"/>
  <c r="G12" i="3"/>
  <c r="F12" i="3"/>
  <c r="E12" i="3"/>
  <c r="D12" i="3"/>
</calcChain>
</file>

<file path=xl/sharedStrings.xml><?xml version="1.0" encoding="utf-8"?>
<sst xmlns="http://schemas.openxmlformats.org/spreadsheetml/2006/main" count="115" uniqueCount="35">
  <si>
    <t>Name</t>
  </si>
  <si>
    <t xml:space="preserve"> IA Tank</t>
  </si>
  <si>
    <t>Notes</t>
  </si>
  <si>
    <t xml:space="preserve"> "Imported from Chronograph</t>
  </si>
  <si>
    <t xml:space="preserve"> String 1 on 8/1/2020</t>
  </si>
  <si>
    <t xml:space="preserve"> 2:57 PM"</t>
  </si>
  <si>
    <t>Number of Shots</t>
  </si>
  <si>
    <t>Extreme Spread</t>
  </si>
  <si>
    <t>Average</t>
  </si>
  <si>
    <t>Standard Deviation</t>
  </si>
  <si>
    <t>Power Factor Average</t>
  </si>
  <si>
    <t>Power Factor Low</t>
  </si>
  <si>
    <t>Power Factor High</t>
  </si>
  <si>
    <t>Shot List</t>
  </si>
  <si>
    <t>Index</t>
  </si>
  <si>
    <t>Velocity</t>
  </si>
  <si>
    <t>Temperature</t>
  </si>
  <si>
    <t>Barometric Pressure</t>
  </si>
  <si>
    <t>Bullet Weight</t>
  </si>
  <si>
    <t>Ft/lbs</t>
  </si>
  <si>
    <t>Power Factor</t>
  </si>
  <si>
    <t>Date</t>
  </si>
  <si>
    <t>IA Tank</t>
  </si>
  <si>
    <t>90.63 F</t>
  </si>
  <si>
    <t>30 in Hg</t>
  </si>
  <si>
    <t>RiseR MS</t>
  </si>
  <si>
    <t>RiseT MS</t>
  </si>
  <si>
    <t>RMS-T PSI</t>
  </si>
  <si>
    <t>MaxT PSI</t>
  </si>
  <si>
    <t>minT PSI</t>
  </si>
  <si>
    <t>Av</t>
  </si>
  <si>
    <t>SD</t>
  </si>
  <si>
    <t>NA</t>
  </si>
  <si>
    <t>Shot</t>
  </si>
  <si>
    <t>FPS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</si>
</sst>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6">
    <xf numFmtId="0" fontId="0" fillId="0" borderId="0" xfId="0"/>
    <xf numFmtId="22" fontId="0" fillId="0" borderId="0" xfId="0" applyNumberFormat="1"/>
    <xf numFmtId="0" fontId="0" fillId="0" borderId="10" xfId="0" applyBorder="1"/>
    <xf numFmtId="0" fontId="0" fillId="33" borderId="10" xfId="0" applyFill="1" applyBorder="1"/>
    <xf numFmtId="0" fontId="0" fillId="0" borderId="11" xfId="0" applyBorder="1"/>
    <xf numFmtId="0" fontId="0" fillId="33" borderId="11" xfId="0" applyFill="1" applyBorder="1"/>
    <xf numFmtId="0" fontId="0" fillId="0" borderId="12" xfId="0" applyBorder="1"/>
    <xf numFmtId="0" fontId="0" fillId="35" borderId="13" xfId="0" applyFill="1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0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35" borderId="22" xfId="0" applyFill="1" applyBorder="1"/>
    <xf numFmtId="0" fontId="0" fillId="34" borderId="23" xfId="0" applyFill="1" applyBorder="1"/>
    <xf numFmtId="0" fontId="0" fillId="34" borderId="24" xfId="0" applyFill="1" applyBorder="1"/>
    <xf numFmtId="0" fontId="0" fillId="0" borderId="15" xfId="0" applyFill="1" applyBorder="1"/>
    <xf numFmtId="0" fontId="0" fillId="0" borderId="16" xfId="0" applyFill="1" applyBorder="1"/>
    <xf numFmtId="0" fontId="0" fillId="36" borderId="11" xfId="0" applyFill="1" applyBorder="1"/>
    <xf numFmtId="0" fontId="0" fillId="36" borderId="10" xfId="0" applyFill="1" applyBorder="1"/>
    <xf numFmtId="0" fontId="0" fillId="36" borderId="0" xfId="0" applyFill="1"/>
    <xf numFmtId="0" fontId="0" fillId="36" borderId="0" xfId="0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1"/>
  <sheetViews>
    <sheetView workbookViewId="0">
      <selection activeCell="A11" sqref="A11:C31"/>
    </sheetView>
  </sheetViews>
  <sheetFormatPr defaultRowHeight="15" x14ac:dyDescent="0.25"/>
  <sheetData>
    <row r="1" spans="1:9" x14ac:dyDescent="0.25">
      <c r="A1" t="s">
        <v>0</v>
      </c>
      <c r="B1" t="s">
        <v>1</v>
      </c>
    </row>
    <row r="2" spans="1:9" x14ac:dyDescent="0.25">
      <c r="A2" t="s">
        <v>2</v>
      </c>
      <c r="B2" t="s">
        <v>3</v>
      </c>
      <c r="C2" t="s">
        <v>4</v>
      </c>
      <c r="D2" t="s">
        <v>5</v>
      </c>
    </row>
    <row r="3" spans="1:9" x14ac:dyDescent="0.25">
      <c r="A3" t="s">
        <v>6</v>
      </c>
      <c r="B3">
        <v>20</v>
      </c>
    </row>
    <row r="4" spans="1:9" x14ac:dyDescent="0.25">
      <c r="A4" t="s">
        <v>7</v>
      </c>
      <c r="B4">
        <v>11</v>
      </c>
    </row>
    <row r="5" spans="1:9" x14ac:dyDescent="0.25">
      <c r="A5" t="s">
        <v>8</v>
      </c>
      <c r="B5">
        <v>293</v>
      </c>
    </row>
    <row r="6" spans="1:9" x14ac:dyDescent="0.25">
      <c r="A6" t="s">
        <v>9</v>
      </c>
      <c r="B6">
        <v>3</v>
      </c>
    </row>
    <row r="7" spans="1:9" x14ac:dyDescent="0.25">
      <c r="A7" t="s">
        <v>10</v>
      </c>
      <c r="B7">
        <v>12</v>
      </c>
    </row>
    <row r="8" spans="1:9" x14ac:dyDescent="0.25">
      <c r="A8" t="s">
        <v>11</v>
      </c>
      <c r="B8">
        <v>11</v>
      </c>
    </row>
    <row r="9" spans="1:9" x14ac:dyDescent="0.25">
      <c r="A9" t="s">
        <v>12</v>
      </c>
      <c r="B9">
        <v>12</v>
      </c>
    </row>
    <row r="11" spans="1:9" x14ac:dyDescent="0.25">
      <c r="A11" t="s">
        <v>13</v>
      </c>
      <c r="B11" t="s">
        <v>14</v>
      </c>
      <c r="C11" t="s">
        <v>15</v>
      </c>
      <c r="D11" t="s">
        <v>16</v>
      </c>
      <c r="E11" t="s">
        <v>17</v>
      </c>
      <c r="F11" t="s">
        <v>18</v>
      </c>
      <c r="G11" t="s">
        <v>19</v>
      </c>
      <c r="H11" t="s">
        <v>20</v>
      </c>
      <c r="I11" t="s">
        <v>21</v>
      </c>
    </row>
    <row r="12" spans="1:9" x14ac:dyDescent="0.25">
      <c r="A12" t="s">
        <v>22</v>
      </c>
      <c r="B12">
        <v>1</v>
      </c>
      <c r="C12">
        <v>297</v>
      </c>
      <c r="D12" t="s">
        <v>23</v>
      </c>
      <c r="E12" t="s">
        <v>24</v>
      </c>
      <c r="F12">
        <v>40</v>
      </c>
      <c r="G12">
        <v>7.83</v>
      </c>
      <c r="H12">
        <v>12</v>
      </c>
      <c r="I12" s="1">
        <v>44044.623530092591</v>
      </c>
    </row>
    <row r="13" spans="1:9" x14ac:dyDescent="0.25">
      <c r="A13" t="s">
        <v>22</v>
      </c>
      <c r="B13">
        <v>2</v>
      </c>
      <c r="C13">
        <v>293</v>
      </c>
      <c r="D13" t="s">
        <v>23</v>
      </c>
      <c r="E13" t="s">
        <v>24</v>
      </c>
      <c r="F13">
        <v>40</v>
      </c>
      <c r="G13">
        <v>7.62</v>
      </c>
      <c r="H13">
        <v>12</v>
      </c>
      <c r="I13" s="1">
        <v>44044.623530092591</v>
      </c>
    </row>
    <row r="14" spans="1:9" x14ac:dyDescent="0.25">
      <c r="A14" t="s">
        <v>22</v>
      </c>
      <c r="B14">
        <v>3</v>
      </c>
      <c r="C14">
        <v>293</v>
      </c>
      <c r="D14" t="s">
        <v>23</v>
      </c>
      <c r="E14" t="s">
        <v>24</v>
      </c>
      <c r="F14">
        <v>40</v>
      </c>
      <c r="G14">
        <v>7.62</v>
      </c>
      <c r="H14">
        <v>12</v>
      </c>
      <c r="I14" s="1">
        <v>44044.623530092591</v>
      </c>
    </row>
    <row r="15" spans="1:9" x14ac:dyDescent="0.25">
      <c r="A15" t="s">
        <v>22</v>
      </c>
      <c r="B15">
        <v>4</v>
      </c>
      <c r="C15">
        <v>294</v>
      </c>
      <c r="D15" t="s">
        <v>23</v>
      </c>
      <c r="E15" t="s">
        <v>24</v>
      </c>
      <c r="F15">
        <v>40</v>
      </c>
      <c r="G15">
        <v>7.68</v>
      </c>
      <c r="H15">
        <v>12</v>
      </c>
      <c r="I15" s="1">
        <v>44044.623530092591</v>
      </c>
    </row>
    <row r="16" spans="1:9" x14ac:dyDescent="0.25">
      <c r="A16" t="s">
        <v>22</v>
      </c>
      <c r="B16">
        <v>5</v>
      </c>
      <c r="C16">
        <v>295</v>
      </c>
      <c r="D16" t="s">
        <v>23</v>
      </c>
      <c r="E16" t="s">
        <v>24</v>
      </c>
      <c r="F16">
        <v>40</v>
      </c>
      <c r="G16">
        <v>7.73</v>
      </c>
      <c r="H16">
        <v>12</v>
      </c>
      <c r="I16" s="1">
        <v>44044.623530092591</v>
      </c>
    </row>
    <row r="17" spans="1:9" x14ac:dyDescent="0.25">
      <c r="A17" t="s">
        <v>22</v>
      </c>
      <c r="B17">
        <v>6</v>
      </c>
      <c r="C17">
        <v>292</v>
      </c>
      <c r="D17" t="s">
        <v>23</v>
      </c>
      <c r="E17" t="s">
        <v>24</v>
      </c>
      <c r="F17">
        <v>40</v>
      </c>
      <c r="G17">
        <v>7.57</v>
      </c>
      <c r="H17">
        <v>12</v>
      </c>
      <c r="I17" s="1">
        <v>44044.623530092591</v>
      </c>
    </row>
    <row r="18" spans="1:9" x14ac:dyDescent="0.25">
      <c r="A18" t="s">
        <v>22</v>
      </c>
      <c r="B18">
        <v>7</v>
      </c>
      <c r="C18">
        <v>289</v>
      </c>
      <c r="D18" t="s">
        <v>23</v>
      </c>
      <c r="E18" t="s">
        <v>24</v>
      </c>
      <c r="F18">
        <v>40</v>
      </c>
      <c r="G18">
        <v>7.42</v>
      </c>
      <c r="H18">
        <v>12</v>
      </c>
      <c r="I18" s="1">
        <v>44044.623530092591</v>
      </c>
    </row>
    <row r="19" spans="1:9" x14ac:dyDescent="0.25">
      <c r="A19" t="s">
        <v>22</v>
      </c>
      <c r="B19">
        <v>8</v>
      </c>
      <c r="C19">
        <v>293</v>
      </c>
      <c r="D19" t="s">
        <v>23</v>
      </c>
      <c r="E19" t="s">
        <v>24</v>
      </c>
      <c r="F19">
        <v>40</v>
      </c>
      <c r="G19">
        <v>7.62</v>
      </c>
      <c r="H19">
        <v>12</v>
      </c>
      <c r="I19" s="1">
        <v>44044.623530092591</v>
      </c>
    </row>
    <row r="20" spans="1:9" x14ac:dyDescent="0.25">
      <c r="A20" t="s">
        <v>22</v>
      </c>
      <c r="B20">
        <v>9</v>
      </c>
      <c r="C20">
        <v>292</v>
      </c>
      <c r="D20" t="s">
        <v>23</v>
      </c>
      <c r="E20" t="s">
        <v>24</v>
      </c>
      <c r="F20">
        <v>40</v>
      </c>
      <c r="G20">
        <v>7.57</v>
      </c>
      <c r="H20">
        <v>12</v>
      </c>
      <c r="I20" s="1">
        <v>44044.623530092591</v>
      </c>
    </row>
    <row r="21" spans="1:9" x14ac:dyDescent="0.25">
      <c r="A21" t="s">
        <v>22</v>
      </c>
      <c r="B21">
        <v>10</v>
      </c>
      <c r="C21">
        <v>296</v>
      </c>
      <c r="D21" t="s">
        <v>23</v>
      </c>
      <c r="E21" t="s">
        <v>24</v>
      </c>
      <c r="F21">
        <v>40</v>
      </c>
      <c r="G21">
        <v>7.78</v>
      </c>
      <c r="H21">
        <v>12</v>
      </c>
      <c r="I21" s="1">
        <v>44044.623530092591</v>
      </c>
    </row>
    <row r="22" spans="1:9" x14ac:dyDescent="0.25">
      <c r="A22" t="s">
        <v>22</v>
      </c>
      <c r="B22">
        <v>11</v>
      </c>
      <c r="C22">
        <v>296</v>
      </c>
      <c r="D22" t="s">
        <v>23</v>
      </c>
      <c r="E22" t="s">
        <v>24</v>
      </c>
      <c r="F22">
        <v>40</v>
      </c>
      <c r="G22">
        <v>7.78</v>
      </c>
      <c r="H22">
        <v>12</v>
      </c>
      <c r="I22" s="1">
        <v>44044.623530092591</v>
      </c>
    </row>
    <row r="23" spans="1:9" x14ac:dyDescent="0.25">
      <c r="A23" t="s">
        <v>22</v>
      </c>
      <c r="B23">
        <v>12</v>
      </c>
      <c r="C23">
        <v>297</v>
      </c>
      <c r="D23" t="s">
        <v>23</v>
      </c>
      <c r="E23" t="s">
        <v>24</v>
      </c>
      <c r="F23">
        <v>40</v>
      </c>
      <c r="G23">
        <v>7.83</v>
      </c>
      <c r="H23">
        <v>12</v>
      </c>
      <c r="I23" s="1">
        <v>44044.623530092591</v>
      </c>
    </row>
    <row r="24" spans="1:9" x14ac:dyDescent="0.25">
      <c r="A24" t="s">
        <v>22</v>
      </c>
      <c r="B24">
        <v>13</v>
      </c>
      <c r="C24">
        <v>296</v>
      </c>
      <c r="D24" t="s">
        <v>23</v>
      </c>
      <c r="E24" t="s">
        <v>24</v>
      </c>
      <c r="F24">
        <v>40</v>
      </c>
      <c r="G24">
        <v>7.78</v>
      </c>
      <c r="H24">
        <v>12</v>
      </c>
      <c r="I24" s="1">
        <v>44044.623530092591</v>
      </c>
    </row>
    <row r="25" spans="1:9" x14ac:dyDescent="0.25">
      <c r="A25" t="s">
        <v>22</v>
      </c>
      <c r="B25">
        <v>14</v>
      </c>
      <c r="C25">
        <v>292</v>
      </c>
      <c r="D25" t="s">
        <v>23</v>
      </c>
      <c r="E25" t="s">
        <v>24</v>
      </c>
      <c r="F25">
        <v>40</v>
      </c>
      <c r="G25">
        <v>7.57</v>
      </c>
      <c r="H25">
        <v>12</v>
      </c>
      <c r="I25" s="1">
        <v>44044.623530092591</v>
      </c>
    </row>
    <row r="26" spans="1:9" x14ac:dyDescent="0.25">
      <c r="A26" t="s">
        <v>22</v>
      </c>
      <c r="B26">
        <v>15</v>
      </c>
      <c r="C26">
        <v>287</v>
      </c>
      <c r="D26" t="s">
        <v>23</v>
      </c>
      <c r="E26" t="s">
        <v>24</v>
      </c>
      <c r="F26">
        <v>40</v>
      </c>
      <c r="G26">
        <v>7.32</v>
      </c>
      <c r="H26">
        <v>11</v>
      </c>
      <c r="I26" s="1">
        <v>44044.623530092591</v>
      </c>
    </row>
    <row r="27" spans="1:9" x14ac:dyDescent="0.25">
      <c r="A27" t="s">
        <v>22</v>
      </c>
      <c r="B27">
        <v>16</v>
      </c>
      <c r="C27">
        <v>297</v>
      </c>
      <c r="D27" t="s">
        <v>23</v>
      </c>
      <c r="E27" t="s">
        <v>24</v>
      </c>
      <c r="F27">
        <v>40</v>
      </c>
      <c r="G27">
        <v>7.83</v>
      </c>
      <c r="H27">
        <v>12</v>
      </c>
      <c r="I27" s="1">
        <v>44044.623530092591</v>
      </c>
    </row>
    <row r="28" spans="1:9" x14ac:dyDescent="0.25">
      <c r="A28" t="s">
        <v>22</v>
      </c>
      <c r="B28">
        <v>17</v>
      </c>
      <c r="C28">
        <v>296</v>
      </c>
      <c r="D28" t="s">
        <v>23</v>
      </c>
      <c r="E28" t="s">
        <v>24</v>
      </c>
      <c r="F28">
        <v>40</v>
      </c>
      <c r="G28">
        <v>7.78</v>
      </c>
      <c r="H28">
        <v>12</v>
      </c>
      <c r="I28" s="1">
        <v>44044.623530092591</v>
      </c>
    </row>
    <row r="29" spans="1:9" x14ac:dyDescent="0.25">
      <c r="A29" t="s">
        <v>22</v>
      </c>
      <c r="B29">
        <v>18</v>
      </c>
      <c r="C29">
        <v>292</v>
      </c>
      <c r="D29" t="s">
        <v>23</v>
      </c>
      <c r="E29" t="s">
        <v>24</v>
      </c>
      <c r="F29">
        <v>40</v>
      </c>
      <c r="G29">
        <v>7.57</v>
      </c>
      <c r="H29">
        <v>12</v>
      </c>
      <c r="I29" s="1">
        <v>44044.623530092591</v>
      </c>
    </row>
    <row r="30" spans="1:9" x14ac:dyDescent="0.25">
      <c r="A30" t="s">
        <v>22</v>
      </c>
      <c r="B30">
        <v>19</v>
      </c>
      <c r="C30">
        <v>294</v>
      </c>
      <c r="D30" t="s">
        <v>23</v>
      </c>
      <c r="E30" t="s">
        <v>24</v>
      </c>
      <c r="F30">
        <v>40</v>
      </c>
      <c r="G30">
        <v>7.68</v>
      </c>
      <c r="H30">
        <v>12</v>
      </c>
      <c r="I30" s="1">
        <v>44044.623530092591</v>
      </c>
    </row>
    <row r="31" spans="1:9" x14ac:dyDescent="0.25">
      <c r="A31" t="s">
        <v>22</v>
      </c>
      <c r="B31">
        <v>20</v>
      </c>
      <c r="C31">
        <v>298</v>
      </c>
      <c r="D31" t="s">
        <v>23</v>
      </c>
      <c r="E31" t="s">
        <v>24</v>
      </c>
      <c r="F31">
        <v>40</v>
      </c>
      <c r="G31">
        <v>7.89</v>
      </c>
      <c r="H31">
        <v>12</v>
      </c>
      <c r="I31" s="1">
        <v>44044.623530092591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6"/>
  <sheetViews>
    <sheetView tabSelected="1" workbookViewId="0">
      <selection activeCell="Q21" sqref="Q21"/>
    </sheetView>
  </sheetViews>
  <sheetFormatPr defaultRowHeight="15" x14ac:dyDescent="0.25"/>
  <sheetData>
    <row r="1" spans="1:9" x14ac:dyDescent="0.25">
      <c r="A1" t="s">
        <v>13</v>
      </c>
      <c r="B1" t="s">
        <v>33</v>
      </c>
      <c r="C1" s="6" t="s">
        <v>34</v>
      </c>
      <c r="D1" s="4" t="s">
        <v>25</v>
      </c>
      <c r="E1" s="2" t="s">
        <v>26</v>
      </c>
      <c r="F1" s="2" t="s">
        <v>27</v>
      </c>
      <c r="G1" s="2" t="s">
        <v>28</v>
      </c>
      <c r="H1" s="2" t="s">
        <v>29</v>
      </c>
    </row>
    <row r="2" spans="1:9" x14ac:dyDescent="0.25">
      <c r="A2" t="s">
        <v>22</v>
      </c>
      <c r="B2">
        <v>1</v>
      </c>
      <c r="C2" s="7">
        <v>297</v>
      </c>
      <c r="D2" s="22"/>
      <c r="E2" s="23"/>
      <c r="F2" s="23">
        <v>702.7</v>
      </c>
      <c r="G2" s="23">
        <v>706.5</v>
      </c>
      <c r="H2" s="23">
        <v>589.1</v>
      </c>
    </row>
    <row r="3" spans="1:9" x14ac:dyDescent="0.25">
      <c r="A3" t="s">
        <v>22</v>
      </c>
      <c r="B3">
        <v>2</v>
      </c>
      <c r="C3" s="7">
        <v>293</v>
      </c>
      <c r="D3" s="22">
        <v>28</v>
      </c>
      <c r="E3" s="23"/>
      <c r="F3" s="23">
        <v>701.1</v>
      </c>
      <c r="G3" s="23">
        <v>717.2</v>
      </c>
      <c r="H3" s="23">
        <v>600</v>
      </c>
    </row>
    <row r="4" spans="1:9" x14ac:dyDescent="0.25">
      <c r="A4" t="s">
        <v>22</v>
      </c>
      <c r="B4">
        <v>3</v>
      </c>
      <c r="C4" s="7">
        <v>293</v>
      </c>
      <c r="D4" s="22">
        <v>28</v>
      </c>
      <c r="E4" s="23"/>
      <c r="F4" s="23">
        <v>702</v>
      </c>
      <c r="G4" s="23">
        <v>719.5</v>
      </c>
      <c r="H4" s="23">
        <v>601.5</v>
      </c>
    </row>
    <row r="5" spans="1:9" x14ac:dyDescent="0.25">
      <c r="A5" t="s">
        <v>22</v>
      </c>
      <c r="B5">
        <v>4</v>
      </c>
      <c r="C5" s="7">
        <v>294</v>
      </c>
      <c r="D5" s="22">
        <v>27</v>
      </c>
      <c r="E5" s="23"/>
      <c r="F5" s="23">
        <v>702</v>
      </c>
      <c r="G5" s="23">
        <v>719</v>
      </c>
      <c r="H5" s="23">
        <v>600.4</v>
      </c>
    </row>
    <row r="6" spans="1:9" x14ac:dyDescent="0.25">
      <c r="A6" t="s">
        <v>22</v>
      </c>
      <c r="B6">
        <v>5</v>
      </c>
      <c r="C6" s="7">
        <v>295</v>
      </c>
      <c r="D6" s="22">
        <v>27</v>
      </c>
      <c r="E6" s="23"/>
      <c r="F6" s="23">
        <v>702.1</v>
      </c>
      <c r="G6" s="23">
        <v>719.5</v>
      </c>
      <c r="H6" s="23">
        <v>601.1</v>
      </c>
    </row>
    <row r="7" spans="1:9" x14ac:dyDescent="0.25">
      <c r="A7" t="s">
        <v>22</v>
      </c>
      <c r="B7">
        <v>6</v>
      </c>
      <c r="C7" s="7">
        <v>292</v>
      </c>
      <c r="D7" s="22">
        <v>29</v>
      </c>
      <c r="E7" s="23">
        <v>593.4</v>
      </c>
      <c r="F7" s="23">
        <v>701.5</v>
      </c>
      <c r="G7" s="23">
        <v>719.5</v>
      </c>
      <c r="H7" s="23">
        <v>600</v>
      </c>
    </row>
    <row r="8" spans="1:9" x14ac:dyDescent="0.25">
      <c r="A8" t="s">
        <v>22</v>
      </c>
      <c r="B8">
        <v>7</v>
      </c>
      <c r="C8" s="7">
        <v>289</v>
      </c>
      <c r="D8" s="22">
        <v>34</v>
      </c>
      <c r="E8" s="23"/>
      <c r="F8" s="23">
        <v>701</v>
      </c>
      <c r="G8" s="23">
        <v>720.3</v>
      </c>
      <c r="H8" s="23">
        <v>599.20000000000005</v>
      </c>
    </row>
    <row r="9" spans="1:9" x14ac:dyDescent="0.25">
      <c r="A9" t="s">
        <v>22</v>
      </c>
      <c r="B9">
        <v>8</v>
      </c>
      <c r="C9" s="7">
        <v>293</v>
      </c>
      <c r="D9" s="22">
        <v>36</v>
      </c>
      <c r="E9" s="23"/>
      <c r="F9" s="23">
        <v>701.4</v>
      </c>
      <c r="G9" s="23">
        <v>719.9</v>
      </c>
      <c r="H9" s="23">
        <v>600.5</v>
      </c>
    </row>
    <row r="10" spans="1:9" x14ac:dyDescent="0.25">
      <c r="A10" t="s">
        <v>22</v>
      </c>
      <c r="B10">
        <v>9</v>
      </c>
      <c r="C10" s="7">
        <v>292</v>
      </c>
      <c r="D10" s="22">
        <v>28</v>
      </c>
      <c r="E10" s="23"/>
      <c r="F10" s="23">
        <v>701.2</v>
      </c>
      <c r="G10" s="23">
        <v>721.1</v>
      </c>
      <c r="H10" s="23">
        <v>598.6</v>
      </c>
    </row>
    <row r="11" spans="1:9" x14ac:dyDescent="0.25">
      <c r="A11" t="s">
        <v>22</v>
      </c>
      <c r="B11">
        <v>10</v>
      </c>
      <c r="C11" s="7">
        <v>296</v>
      </c>
      <c r="D11" s="22">
        <v>26</v>
      </c>
      <c r="E11" s="23"/>
      <c r="F11" s="23">
        <v>702.4</v>
      </c>
      <c r="G11" s="23">
        <v>720.9</v>
      </c>
      <c r="H11" s="23">
        <v>599.6</v>
      </c>
    </row>
    <row r="12" spans="1:9" x14ac:dyDescent="0.25">
      <c r="C12" s="7">
        <f>AVERAGE(C2:C11)</f>
        <v>293.39999999999998</v>
      </c>
      <c r="D12" s="5">
        <f>AVERAGE(D2:D11)</f>
        <v>29.222222222222221</v>
      </c>
      <c r="E12" s="3">
        <f>AVERAGE(E2:E11)</f>
        <v>593.4</v>
      </c>
      <c r="F12" s="3">
        <f t="shared" ref="F12:H12" si="0">AVERAGE(F2:F11)</f>
        <v>701.7399999999999</v>
      </c>
      <c r="G12" s="3">
        <f t="shared" si="0"/>
        <v>718.33999999999992</v>
      </c>
      <c r="H12" s="3">
        <f t="shared" si="0"/>
        <v>599.00000000000011</v>
      </c>
      <c r="I12" s="3" t="s">
        <v>30</v>
      </c>
    </row>
    <row r="13" spans="1:9" x14ac:dyDescent="0.25">
      <c r="C13" s="17">
        <f>STDEV(C2:C11)</f>
        <v>2.270584848790187</v>
      </c>
      <c r="D13" s="18">
        <f>STDEV(D2:D11)</f>
        <v>3.4197140881138672</v>
      </c>
      <c r="E13" s="19" t="s">
        <v>32</v>
      </c>
      <c r="F13" s="19">
        <f t="shared" ref="F13:H13" si="1">STDEV(F2:F11)</f>
        <v>0.58156875966838462</v>
      </c>
      <c r="G13" s="19">
        <f t="shared" si="1"/>
        <v>4.2999224799213875</v>
      </c>
      <c r="H13" s="19">
        <f t="shared" si="1"/>
        <v>3.5814336049502051</v>
      </c>
      <c r="I13" s="19" t="s">
        <v>31</v>
      </c>
    </row>
    <row r="14" spans="1:9" ht="15.75" thickBot="1" x14ac:dyDescent="0.3">
      <c r="A14" s="12"/>
      <c r="B14" s="12"/>
      <c r="C14" s="12"/>
      <c r="D14" s="12"/>
      <c r="E14" s="12"/>
      <c r="F14" s="12"/>
      <c r="G14" s="12"/>
      <c r="H14" s="12"/>
      <c r="I14" s="12"/>
    </row>
    <row r="15" spans="1:9" x14ac:dyDescent="0.25">
      <c r="A15" s="8" t="s">
        <v>22</v>
      </c>
      <c r="B15" s="9">
        <v>11</v>
      </c>
      <c r="C15" s="9">
        <v>296</v>
      </c>
      <c r="D15" s="9">
        <v>29</v>
      </c>
      <c r="E15" s="9"/>
      <c r="F15" s="9">
        <v>698.5</v>
      </c>
      <c r="G15" s="9">
        <v>722</v>
      </c>
      <c r="H15" s="10">
        <v>583</v>
      </c>
      <c r="I15" s="12"/>
    </row>
    <row r="16" spans="1:9" x14ac:dyDescent="0.25">
      <c r="A16" s="11" t="s">
        <v>22</v>
      </c>
      <c r="B16" s="12">
        <v>12</v>
      </c>
      <c r="C16" s="12">
        <v>297</v>
      </c>
      <c r="D16" s="12">
        <v>29</v>
      </c>
      <c r="E16" s="12"/>
      <c r="F16" s="12">
        <v>698.5</v>
      </c>
      <c r="G16" s="12">
        <v>722</v>
      </c>
      <c r="H16" s="13">
        <v>583</v>
      </c>
      <c r="I16" s="12"/>
    </row>
    <row r="17" spans="1:9" x14ac:dyDescent="0.25">
      <c r="A17" s="11" t="s">
        <v>22</v>
      </c>
      <c r="B17" s="12">
        <v>13</v>
      </c>
      <c r="C17" s="12">
        <v>296</v>
      </c>
      <c r="D17" s="12">
        <v>29</v>
      </c>
      <c r="E17" s="12"/>
      <c r="F17" s="12">
        <v>698.5</v>
      </c>
      <c r="G17" s="12">
        <v>722</v>
      </c>
      <c r="H17" s="13">
        <v>583</v>
      </c>
      <c r="I17" s="12"/>
    </row>
    <row r="18" spans="1:9" s="12" customFormat="1" ht="15.75" thickBot="1" x14ac:dyDescent="0.3">
      <c r="A18" s="14" t="s">
        <v>22</v>
      </c>
      <c r="B18" s="15">
        <v>14</v>
      </c>
      <c r="C18" s="15">
        <v>292</v>
      </c>
      <c r="D18" s="15">
        <v>29</v>
      </c>
      <c r="E18" s="15"/>
      <c r="F18" s="15">
        <v>698.5</v>
      </c>
      <c r="G18" s="15">
        <v>722</v>
      </c>
      <c r="H18" s="16">
        <v>583</v>
      </c>
    </row>
    <row r="19" spans="1:9" s="12" customFormat="1" ht="15.75" thickBot="1" x14ac:dyDescent="0.3">
      <c r="A19" s="11"/>
      <c r="B19" s="25" t="s">
        <v>31</v>
      </c>
      <c r="C19" s="25">
        <f>STDEV(C15:C18)</f>
        <v>2.2173557826083452</v>
      </c>
      <c r="H19" s="13"/>
    </row>
    <row r="20" spans="1:9" x14ac:dyDescent="0.25">
      <c r="A20" s="8" t="s">
        <v>22</v>
      </c>
      <c r="B20" s="9">
        <v>15</v>
      </c>
      <c r="C20" s="9">
        <v>287</v>
      </c>
      <c r="D20" s="20">
        <v>27</v>
      </c>
      <c r="E20" s="20">
        <v>54.74</v>
      </c>
      <c r="F20" s="20">
        <v>676.2</v>
      </c>
      <c r="G20" s="20">
        <v>694.2</v>
      </c>
      <c r="H20" s="21">
        <v>579.29999999999995</v>
      </c>
      <c r="I20" s="12"/>
    </row>
    <row r="21" spans="1:9" x14ac:dyDescent="0.25">
      <c r="A21" s="11" t="s">
        <v>22</v>
      </c>
      <c r="B21" s="12">
        <v>16</v>
      </c>
      <c r="C21" s="12">
        <v>297</v>
      </c>
      <c r="D21" s="12">
        <v>27</v>
      </c>
      <c r="E21" s="12">
        <v>54.74</v>
      </c>
      <c r="F21" s="12">
        <v>676.2</v>
      </c>
      <c r="G21" s="12">
        <v>694.2</v>
      </c>
      <c r="H21" s="13">
        <v>579.29999999999995</v>
      </c>
      <c r="I21" s="12"/>
    </row>
    <row r="22" spans="1:9" x14ac:dyDescent="0.25">
      <c r="A22" s="11" t="s">
        <v>22</v>
      </c>
      <c r="B22" s="12">
        <v>17</v>
      </c>
      <c r="C22" s="12">
        <v>296</v>
      </c>
      <c r="D22" s="12">
        <v>27</v>
      </c>
      <c r="E22" s="12">
        <v>54.74</v>
      </c>
      <c r="F22" s="12">
        <v>676.2</v>
      </c>
      <c r="G22" s="12">
        <v>694.2</v>
      </c>
      <c r="H22" s="13">
        <v>579.29999999999995</v>
      </c>
      <c r="I22" s="12"/>
    </row>
    <row r="23" spans="1:9" x14ac:dyDescent="0.25">
      <c r="A23" s="11" t="s">
        <v>22</v>
      </c>
      <c r="B23" s="12">
        <v>18</v>
      </c>
      <c r="C23" s="12">
        <v>292</v>
      </c>
      <c r="D23" s="12">
        <v>27</v>
      </c>
      <c r="E23" s="12">
        <v>54.74</v>
      </c>
      <c r="F23" s="12">
        <v>676.2</v>
      </c>
      <c r="G23" s="12">
        <v>694.2</v>
      </c>
      <c r="H23" s="13">
        <v>579.29999999999995</v>
      </c>
      <c r="I23" s="12"/>
    </row>
    <row r="24" spans="1:9" x14ac:dyDescent="0.25">
      <c r="A24" s="11" t="s">
        <v>22</v>
      </c>
      <c r="B24" s="12">
        <v>19</v>
      </c>
      <c r="C24" s="12">
        <v>294</v>
      </c>
      <c r="D24" s="12">
        <v>27</v>
      </c>
      <c r="E24" s="12">
        <v>54.74</v>
      </c>
      <c r="F24" s="12">
        <v>676.2</v>
      </c>
      <c r="G24" s="12">
        <v>694.2</v>
      </c>
      <c r="H24" s="13">
        <v>579.29999999999995</v>
      </c>
      <c r="I24" s="12"/>
    </row>
    <row r="25" spans="1:9" ht="15.75" thickBot="1" x14ac:dyDescent="0.3">
      <c r="A25" s="14" t="s">
        <v>22</v>
      </c>
      <c r="B25" s="15">
        <v>20</v>
      </c>
      <c r="C25" s="15">
        <v>298</v>
      </c>
      <c r="D25" s="15">
        <v>27</v>
      </c>
      <c r="E25" s="15">
        <v>54.74</v>
      </c>
      <c r="F25" s="15">
        <v>676.2</v>
      </c>
      <c r="G25" s="15">
        <v>694.2</v>
      </c>
      <c r="H25" s="16">
        <v>579.29999999999995</v>
      </c>
    </row>
    <row r="26" spans="1:9" x14ac:dyDescent="0.25">
      <c r="B26" s="24" t="s">
        <v>31</v>
      </c>
      <c r="C26" s="24">
        <f>STDEV(C20:C25)</f>
        <v>4.0496913462633168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ia-tank</vt:lpstr>
      <vt:lpstr>Sheet2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Garrett SImmons</cp:lastModifiedBy>
  <dcterms:created xsi:type="dcterms:W3CDTF">2020-08-02T00:46:11Z</dcterms:created>
  <dcterms:modified xsi:type="dcterms:W3CDTF">2020-08-02T02:50:55Z</dcterms:modified>
</cp:coreProperties>
</file>